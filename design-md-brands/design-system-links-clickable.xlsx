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42d62b716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 System Links" sheetId="1" r:id="Rb8ae3e3088e04c37"/>
    <x:sheet xmlns:r="http://schemas.openxmlformats.org/officeDocument/2006/relationships" name="Summary" sheetId="2" r:id="R2667db3efd7443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9FAFB"/>
      <x:name val="Carlito"/>
    </x:font>
    <x:font>
      <x:b/>
      <x:sz val="11"/>
      <x:name val="Carlito"/>
    </x:font>
    <x:font>
      <x:sz val="11"/>
      <x:color rgb="FF2563EB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4d1732fb74c94" /><Relationship Type="http://schemas.openxmlformats.org/officeDocument/2006/relationships/theme" Target="/xl/theme/theme1.xml" Id="Rbeee6fed9bf646a4" /><Relationship Type="http://schemas.openxmlformats.org/officeDocument/2006/relationships/sharedStrings" Target="/xl/sharedStrings.xml" Id="R66c7ca3bec684fbf" /><Relationship Type="http://schemas.openxmlformats.org/officeDocument/2006/relationships/worksheet" Target="/xl/worksheets/sheet1.xml" Id="Rb8ae3e3088e04c37" /><Relationship Type="http://schemas.openxmlformats.org/officeDocument/2006/relationships/worksheet" Target="/xl/worksheets/sheet2.xml" Id="R2667db3efd7443a6" /></Relationships>
</file>

<file path=xl/tables/table1.xml><?xml version="1.0" encoding="utf-8"?>
<x:table xmlns:x="http://schemas.openxmlformats.org/spreadsheetml/2006/main" id="1" name="DesignSystemLinksTable" displayName="DesignSystemLinksTable" ref="A1:D72" headerRowCount="1">
  <x:tableColumns count="4">
    <x:tableColumn id="1" name="Brand"/>
    <x:tableColumn id="2" name="Local design.md file"/>
    <x:tableColumn id="3" name="Design system URL"/>
    <x:tableColumn id="4" name="Open in brows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94c454b0314fd6" /></Relationships>
</file>

<file path=xl/worksheets/sheet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28.75" hidden="0" customWidth="1"/>
    <x:col min="3" max="3" width="53.75" hidden="0" customWidth="1"/>
    <x:col min="4" max="4" width="16.25" hidden="0" customWidth="1"/>
  </x:cols>
  <x:sheetData>
    <x:row r="1">
      <x:c r="A1" s="3" t="str">
        <x:v>Brand</x:v>
      </x:c>
      <x:c r="B1" s="3" t="str">
        <x:v>Local design.md file</x:v>
      </x:c>
      <x:c r="C1" s="3" t="str">
        <x:v>Design system URL</x:v>
      </x:c>
      <x:c r="D1" s="3" t="str">
        <x:v>Open in browser</x:v>
      </x:c>
    </x:row>
    <x:row r="2">
      <x:c r="A2" s="4" t="str">
        <x:v>airbnb</x:v>
      </x:c>
      <x:c r="B2" t="str">
        <x:v>design-airbnb.md</x:v>
      </x:c>
      <x:c r="C2" s="6" t="str">
        <x:v>https://getdesign.md/airbnb/design-md</x:v>
      </x:c>
      <x:c r="D2" s="6" t="e">
        <x:f>HYPERLINK("https://getdesign.md/airbnb/design-md","打开链接")</x:f>
      </x:c>
    </x:row>
    <x:row r="3">
      <x:c r="A3" s="4" t="str">
        <x:v>airtable</x:v>
      </x:c>
      <x:c r="B3" t="str">
        <x:v>design-airtable.md</x:v>
      </x:c>
      <x:c r="C3" s="6" t="str">
        <x:v>https://getdesign.md/airtable/design-md</x:v>
      </x:c>
      <x:c r="D3" s="6" t="e">
        <x:f>HYPERLINK("https://getdesign.md/airtable/design-md","打开链接")</x:f>
      </x:c>
    </x:row>
    <x:row r="4">
      <x:c r="A4" s="4" t="str">
        <x:v>apple</x:v>
      </x:c>
      <x:c r="B4" t="str">
        <x:v>design-apple.md</x:v>
      </x:c>
      <x:c r="C4" s="6" t="str">
        <x:v>https://getdesign.md/apple/design-md</x:v>
      </x:c>
      <x:c r="D4" s="6" t="e">
        <x:f>HYPERLINK("https://getdesign.md/apple/design-md","打开链接")</x:f>
      </x:c>
    </x:row>
    <x:row r="5">
      <x:c r="A5" s="4" t="str">
        <x:v>binance</x:v>
      </x:c>
      <x:c r="B5" t="str">
        <x:v>design-binance.md</x:v>
      </x:c>
      <x:c r="C5" s="6" t="str">
        <x:v>https://getdesign.md/binance/design-md</x:v>
      </x:c>
      <x:c r="D5" s="6" t="e">
        <x:f>HYPERLINK("https://getdesign.md/binance/design-md","打开链接")</x:f>
      </x:c>
    </x:row>
    <x:row r="6">
      <x:c r="A6" s="4" t="str">
        <x:v>bmw</x:v>
      </x:c>
      <x:c r="B6" t="str">
        <x:v>design-bmw.md</x:v>
      </x:c>
      <x:c r="C6" s="6" t="str">
        <x:v>https://getdesign.md/bmw/design-md</x:v>
      </x:c>
      <x:c r="D6" s="6" t="e">
        <x:f>HYPERLINK("https://getdesign.md/bmw/design-md","打开链接")</x:f>
      </x:c>
    </x:row>
    <x:row r="7">
      <x:c r="A7" s="4" t="str">
        <x:v>bmw-m</x:v>
      </x:c>
      <x:c r="B7" t="str">
        <x:v>design-bmw-m.md</x:v>
      </x:c>
      <x:c r="C7" s="6" t="str">
        <x:v>https://getdesign.md/bmw-m/design-md</x:v>
      </x:c>
      <x:c r="D7" s="6" t="e">
        <x:f>HYPERLINK("https://getdesign.md/bmw-m/design-md","打开链接")</x:f>
      </x:c>
    </x:row>
    <x:row r="8">
      <x:c r="A8" s="4" t="str">
        <x:v>bugatti</x:v>
      </x:c>
      <x:c r="B8" t="str">
        <x:v>design-bugatti.md</x:v>
      </x:c>
      <x:c r="C8" s="6" t="str">
        <x:v>https://getdesign.md/bugatti/design-md</x:v>
      </x:c>
      <x:c r="D8" s="6" t="e">
        <x:f>HYPERLINK("https://getdesign.md/bugatti/design-md","打开链接")</x:f>
      </x:c>
    </x:row>
    <x:row r="9">
      <x:c r="A9" s="4" t="str">
        <x:v>cal</x:v>
      </x:c>
      <x:c r="B9" t="str">
        <x:v>design-cal.md</x:v>
      </x:c>
      <x:c r="C9" s="6" t="str">
        <x:v>https://getdesign.md/cal/design-md</x:v>
      </x:c>
      <x:c r="D9" s="6" t="e">
        <x:f>HYPERLINK("https://getdesign.md/cal/design-md","打开链接")</x:f>
      </x:c>
    </x:row>
    <x:row r="10">
      <x:c r="A10" s="4" t="str">
        <x:v>claude</x:v>
      </x:c>
      <x:c r="B10" t="str">
        <x:v>design-claude.md</x:v>
      </x:c>
      <x:c r="C10" s="6" t="str">
        <x:v>https://getdesign.md/claude/design-md</x:v>
      </x:c>
      <x:c r="D10" s="6" t="e">
        <x:f>HYPERLINK("https://getdesign.md/claude/design-md","打开链接")</x:f>
      </x:c>
    </x:row>
    <x:row r="11">
      <x:c r="A11" s="4" t="str">
        <x:v>clay</x:v>
      </x:c>
      <x:c r="B11" t="str">
        <x:v>design-clay.md</x:v>
      </x:c>
      <x:c r="C11" s="6" t="str">
        <x:v>https://getdesign.md/clay/design-md</x:v>
      </x:c>
      <x:c r="D11" s="6" t="e">
        <x:f>HYPERLINK("https://getdesign.md/clay/design-md","打开链接")</x:f>
      </x:c>
    </x:row>
    <x:row r="12">
      <x:c r="A12" s="4" t="str">
        <x:v>clickhouse</x:v>
      </x:c>
      <x:c r="B12" t="str">
        <x:v>design-clickhouse.md</x:v>
      </x:c>
      <x:c r="C12" s="6" t="str">
        <x:v>https://getdesign.md/clickhouse/design-md</x:v>
      </x:c>
      <x:c r="D12" s="6" t="e">
        <x:f>HYPERLINK("https://getdesign.md/clickhouse/design-md","打开链接")</x:f>
      </x:c>
    </x:row>
    <x:row r="13">
      <x:c r="A13" s="4" t="str">
        <x:v>cohere</x:v>
      </x:c>
      <x:c r="B13" t="str">
        <x:v>design-cohere.md</x:v>
      </x:c>
      <x:c r="C13" s="6" t="str">
        <x:v>https://getdesign.md/cohere/design-md</x:v>
      </x:c>
      <x:c r="D13" s="6" t="e">
        <x:f>HYPERLINK("https://getdesign.md/cohere/design-md","打开链接")</x:f>
      </x:c>
    </x:row>
    <x:row r="14">
      <x:c r="A14" s="4" t="str">
        <x:v>coinbase</x:v>
      </x:c>
      <x:c r="B14" t="str">
        <x:v>design-coinbase.md</x:v>
      </x:c>
      <x:c r="C14" s="6" t="str">
        <x:v>https://getdesign.md/coinbase/design-md</x:v>
      </x:c>
      <x:c r="D14" s="6" t="e">
        <x:f>HYPERLINK("https://getdesign.md/coinbase/design-md","打开链接")</x:f>
      </x:c>
    </x:row>
    <x:row r="15">
      <x:c r="A15" s="4" t="str">
        <x:v>composio</x:v>
      </x:c>
      <x:c r="B15" t="str">
        <x:v>design-composio.md</x:v>
      </x:c>
      <x:c r="C15" s="6" t="str">
        <x:v>https://getdesign.md/composio/design-md</x:v>
      </x:c>
      <x:c r="D15" s="6" t="e">
        <x:f>HYPERLINK("https://getdesign.md/composio/design-md","打开链接")</x:f>
      </x:c>
    </x:row>
    <x:row r="16">
      <x:c r="A16" s="4" t="str">
        <x:v>cursor</x:v>
      </x:c>
      <x:c r="B16" t="str">
        <x:v>design-cursor.md</x:v>
      </x:c>
      <x:c r="C16" s="6" t="str">
        <x:v>https://getdesign.md/cursor/design-md</x:v>
      </x:c>
      <x:c r="D16" s="6" t="e">
        <x:f>HYPERLINK("https://getdesign.md/cursor/design-md","打开链接")</x:f>
      </x:c>
    </x:row>
    <x:row r="17">
      <x:c r="A17" s="4" t="str">
        <x:v>elevenlabs</x:v>
      </x:c>
      <x:c r="B17" t="str">
        <x:v>design-elevenlabs.md</x:v>
      </x:c>
      <x:c r="C17" s="6" t="str">
        <x:v>https://getdesign.md/elevenlabs/design-md</x:v>
      </x:c>
      <x:c r="D17" s="6" t="e">
        <x:f>HYPERLINK("https://getdesign.md/elevenlabs/design-md","打开链接")</x:f>
      </x:c>
    </x:row>
    <x:row r="18">
      <x:c r="A18" s="4" t="str">
        <x:v>expo</x:v>
      </x:c>
      <x:c r="B18" t="str">
        <x:v>design-expo.md</x:v>
      </x:c>
      <x:c r="C18" s="6" t="str">
        <x:v>https://getdesign.md/expo/design-md</x:v>
      </x:c>
      <x:c r="D18" s="6" t="e">
        <x:f>HYPERLINK("https://getdesign.md/expo/design-md","打开链接")</x:f>
      </x:c>
    </x:row>
    <x:row r="19">
      <x:c r="A19" s="4" t="str">
        <x:v>ferrari</x:v>
      </x:c>
      <x:c r="B19" t="str">
        <x:v>design-ferrari.md</x:v>
      </x:c>
      <x:c r="C19" s="6" t="str">
        <x:v>https://getdesign.md/ferrari/design-md</x:v>
      </x:c>
      <x:c r="D19" s="6" t="e">
        <x:f>HYPERLINK("https://getdesign.md/ferrari/design-md","打开链接")</x:f>
      </x:c>
    </x:row>
    <x:row r="20">
      <x:c r="A20" s="4" t="str">
        <x:v>figma</x:v>
      </x:c>
      <x:c r="B20" t="str">
        <x:v>design-figma.md</x:v>
      </x:c>
      <x:c r="C20" s="6" t="str">
        <x:v>https://getdesign.md/figma/design-md</x:v>
      </x:c>
      <x:c r="D20" s="6" t="e">
        <x:f>HYPERLINK("https://getdesign.md/figma/design-md","打开链接")</x:f>
      </x:c>
    </x:row>
    <x:row r="21">
      <x:c r="A21" s="4" t="str">
        <x:v>framer</x:v>
      </x:c>
      <x:c r="B21" t="str">
        <x:v>design-framer.md</x:v>
      </x:c>
      <x:c r="C21" s="6" t="str">
        <x:v>https://getdesign.md/framer/design-md</x:v>
      </x:c>
      <x:c r="D21" s="6" t="e">
        <x:f>HYPERLINK("https://getdesign.md/framer/design-md","打开链接")</x:f>
      </x:c>
    </x:row>
    <x:row r="22">
      <x:c r="A22" s="4" t="str">
        <x:v>hashicorp</x:v>
      </x:c>
      <x:c r="B22" t="str">
        <x:v>design-hashicorp.md</x:v>
      </x:c>
      <x:c r="C22" s="6" t="str">
        <x:v>https://getdesign.md/hashicorp/design-md</x:v>
      </x:c>
      <x:c r="D22" s="6" t="e">
        <x:f>HYPERLINK("https://getdesign.md/hashicorp/design-md","打开链接")</x:f>
      </x:c>
    </x:row>
    <x:row r="23">
      <x:c r="A23" s="4" t="str">
        <x:v>ibm</x:v>
      </x:c>
      <x:c r="B23" t="str">
        <x:v>design-ibm.md</x:v>
      </x:c>
      <x:c r="C23" s="6" t="str">
        <x:v>https://getdesign.md/ibm/design-md</x:v>
      </x:c>
      <x:c r="D23" s="6" t="e">
        <x:f>HYPERLINK("https://getdesign.md/ibm/design-md","打开链接")</x:f>
      </x:c>
    </x:row>
    <x:row r="24">
      <x:c r="A24" s="4" t="str">
        <x:v>intercom</x:v>
      </x:c>
      <x:c r="B24" t="str">
        <x:v>design-intercom.md</x:v>
      </x:c>
      <x:c r="C24" s="6" t="str">
        <x:v>https://getdesign.md/intercom/design-md</x:v>
      </x:c>
      <x:c r="D24" s="6" t="e">
        <x:f>HYPERLINK("https://getdesign.md/intercom/design-md","打开链接")</x:f>
      </x:c>
    </x:row>
    <x:row r="25">
      <x:c r="A25" s="4" t="str">
        <x:v>kraken</x:v>
      </x:c>
      <x:c r="B25" t="str">
        <x:v>design-kraken.md</x:v>
      </x:c>
      <x:c r="C25" s="6" t="str">
        <x:v>https://getdesign.md/kraken/design-md</x:v>
      </x:c>
      <x:c r="D25" s="6" t="e">
        <x:f>HYPERLINK("https://getdesign.md/kraken/design-md","打开链接")</x:f>
      </x:c>
    </x:row>
    <x:row r="26">
      <x:c r="A26" s="4" t="str">
        <x:v>lamborghini</x:v>
      </x:c>
      <x:c r="B26" t="str">
        <x:v>design-lamborghini.md</x:v>
      </x:c>
      <x:c r="C26" s="6" t="str">
        <x:v>https://getdesign.md/lamborghini/design-md</x:v>
      </x:c>
      <x:c r="D26" s="6" t="e">
        <x:f>HYPERLINK("https://getdesign.md/lamborghini/design-md","打开链接")</x:f>
      </x:c>
    </x:row>
    <x:row r="27">
      <x:c r="A27" s="4" t="str">
        <x:v>linear.app</x:v>
      </x:c>
      <x:c r="B27" t="str">
        <x:v>design-linear.app.md</x:v>
      </x:c>
      <x:c r="C27" s="6" t="str">
        <x:v>https://getdesign.md/linear.app/design-md</x:v>
      </x:c>
      <x:c r="D27" s="6" t="e">
        <x:f>HYPERLINK("https://getdesign.md/linear.app/design-md","打开链接")</x:f>
      </x:c>
    </x:row>
    <x:row r="28">
      <x:c r="A28" s="4" t="str">
        <x:v>lovable</x:v>
      </x:c>
      <x:c r="B28" t="str">
        <x:v>design-lovable.md</x:v>
      </x:c>
      <x:c r="C28" s="6" t="str">
        <x:v>https://getdesign.md/lovable/design-md</x:v>
      </x:c>
      <x:c r="D28" s="6" t="e">
        <x:f>HYPERLINK("https://getdesign.md/lovable/design-md","打开链接")</x:f>
      </x:c>
    </x:row>
    <x:row r="29">
      <x:c r="A29" s="4" t="str">
        <x:v>mastercard</x:v>
      </x:c>
      <x:c r="B29" t="str">
        <x:v>design-mastercard.md</x:v>
      </x:c>
      <x:c r="C29" s="6" t="str">
        <x:v>https://getdesign.md/mastercard/design-md</x:v>
      </x:c>
      <x:c r="D29" s="6" t="e">
        <x:f>HYPERLINK("https://getdesign.md/mastercard/design-md","打开链接")</x:f>
      </x:c>
    </x:row>
    <x:row r="30">
      <x:c r="A30" s="4" t="str">
        <x:v>meta</x:v>
      </x:c>
      <x:c r="B30" t="str">
        <x:v>design-meta.md</x:v>
      </x:c>
      <x:c r="C30" s="6" t="str">
        <x:v>https://getdesign.md/meta/design-md</x:v>
      </x:c>
      <x:c r="D30" s="6" t="e">
        <x:f>HYPERLINK("https://getdesign.md/meta/design-md","打开链接")</x:f>
      </x:c>
    </x:row>
    <x:row r="31">
      <x:c r="A31" s="4" t="str">
        <x:v>minimax</x:v>
      </x:c>
      <x:c r="B31" t="str">
        <x:v>design-minimax.md</x:v>
      </x:c>
      <x:c r="C31" s="6" t="str">
        <x:v>https://getdesign.md/minimax/design-md</x:v>
      </x:c>
      <x:c r="D31" s="6" t="e">
        <x:f>HYPERLINK("https://getdesign.md/minimax/design-md","打开链接")</x:f>
      </x:c>
    </x:row>
    <x:row r="32">
      <x:c r="A32" s="4" t="str">
        <x:v>mintlify</x:v>
      </x:c>
      <x:c r="B32" t="str">
        <x:v>design-mintlify.md</x:v>
      </x:c>
      <x:c r="C32" s="6" t="str">
        <x:v>https://getdesign.md/mintlify/design-md</x:v>
      </x:c>
      <x:c r="D32" s="6" t="e">
        <x:f>HYPERLINK("https://getdesign.md/mintlify/design-md","打开链接")</x:f>
      </x:c>
    </x:row>
    <x:row r="33">
      <x:c r="A33" s="4" t="str">
        <x:v>miro</x:v>
      </x:c>
      <x:c r="B33" t="str">
        <x:v>design-miro.md</x:v>
      </x:c>
      <x:c r="C33" s="6" t="str">
        <x:v>https://getdesign.md/miro/design-md</x:v>
      </x:c>
      <x:c r="D33" s="6" t="e">
        <x:f>HYPERLINK("https://getdesign.md/miro/design-md","打开链接")</x:f>
      </x:c>
    </x:row>
    <x:row r="34">
      <x:c r="A34" s="4" t="str">
        <x:v>mistral.ai</x:v>
      </x:c>
      <x:c r="B34" t="str">
        <x:v>design-mistral.ai.md</x:v>
      </x:c>
      <x:c r="C34" s="6" t="str">
        <x:v>https://getdesign.md/mistral.ai/design-md</x:v>
      </x:c>
      <x:c r="D34" s="6" t="e">
        <x:f>HYPERLINK("https://getdesign.md/mistral.ai/design-md","打开链接")</x:f>
      </x:c>
    </x:row>
    <x:row r="35">
      <x:c r="A35" s="4" t="str">
        <x:v>mongodb</x:v>
      </x:c>
      <x:c r="B35" t="str">
        <x:v>design-mongodb.md</x:v>
      </x:c>
      <x:c r="C35" s="6" t="str">
        <x:v>https://getdesign.md/mongodb/design-md</x:v>
      </x:c>
      <x:c r="D35" s="6" t="e">
        <x:f>HYPERLINK("https://getdesign.md/mongodb/design-md","打开链接")</x:f>
      </x:c>
    </x:row>
    <x:row r="36">
      <x:c r="A36" s="4" t="str">
        <x:v>nike</x:v>
      </x:c>
      <x:c r="B36" t="str">
        <x:v>design-nike.md</x:v>
      </x:c>
      <x:c r="C36" s="6" t="str">
        <x:v>https://getdesign.md/nike/design-md</x:v>
      </x:c>
      <x:c r="D36" s="6" t="e">
        <x:f>HYPERLINK("https://getdesign.md/nike/design-md","打开链接")</x:f>
      </x:c>
    </x:row>
    <x:row r="37">
      <x:c r="A37" s="4" t="str">
        <x:v>notion</x:v>
      </x:c>
      <x:c r="B37" t="str">
        <x:v>design-notion.md</x:v>
      </x:c>
      <x:c r="C37" s="6" t="str">
        <x:v>https://getdesign.md/notion/design-md</x:v>
      </x:c>
      <x:c r="D37" s="6" t="e">
        <x:f>HYPERLINK("https://getdesign.md/notion/design-md","打开链接")</x:f>
      </x:c>
    </x:row>
    <x:row r="38">
      <x:c r="A38" s="4" t="str">
        <x:v>nvidia</x:v>
      </x:c>
      <x:c r="B38" t="str">
        <x:v>design-nvidia.md</x:v>
      </x:c>
      <x:c r="C38" s="6" t="str">
        <x:v>https://getdesign.md/nvidia/design-md</x:v>
      </x:c>
      <x:c r="D38" s="6" t="e">
        <x:f>HYPERLINK("https://getdesign.md/nvidia/design-md","打开链接")</x:f>
      </x:c>
    </x:row>
    <x:row r="39">
      <x:c r="A39" s="4" t="str">
        <x:v>ollama</x:v>
      </x:c>
      <x:c r="B39" t="str">
        <x:v>design-ollama.md</x:v>
      </x:c>
      <x:c r="C39" s="6" t="str">
        <x:v>https://getdesign.md/ollama/design-md</x:v>
      </x:c>
      <x:c r="D39" s="6" t="e">
        <x:f>HYPERLINK("https://getdesign.md/ollama/design-md","打开链接")</x:f>
      </x:c>
    </x:row>
    <x:row r="40">
      <x:c r="A40" s="4" t="str">
        <x:v>opencode.ai</x:v>
      </x:c>
      <x:c r="B40" t="str">
        <x:v>design-opencode.ai.md</x:v>
      </x:c>
      <x:c r="C40" s="6" t="str">
        <x:v>https://getdesign.md/opencode.ai/design-md</x:v>
      </x:c>
      <x:c r="D40" s="6" t="e">
        <x:f>HYPERLINK("https://getdesign.md/opencode.ai/design-md","打开链接")</x:f>
      </x:c>
    </x:row>
    <x:row r="41">
      <x:c r="A41" s="4" t="str">
        <x:v>pinterest</x:v>
      </x:c>
      <x:c r="B41" t="str">
        <x:v>design-pinterest.md</x:v>
      </x:c>
      <x:c r="C41" s="6" t="str">
        <x:v>https://getdesign.md/pinterest/design-md</x:v>
      </x:c>
      <x:c r="D41" s="6" t="e">
        <x:f>HYPERLINK("https://getdesign.md/pinterest/design-md","打开链接")</x:f>
      </x:c>
    </x:row>
    <x:row r="42">
      <x:c r="A42" s="4" t="str">
        <x:v>playstation</x:v>
      </x:c>
      <x:c r="B42" t="str">
        <x:v>design-playstation.md</x:v>
      </x:c>
      <x:c r="C42" s="6" t="str">
        <x:v>https://getdesign.md/playstation/design-md</x:v>
      </x:c>
      <x:c r="D42" s="6" t="e">
        <x:f>HYPERLINK("https://getdesign.md/playstation/design-md","打开链接")</x:f>
      </x:c>
    </x:row>
    <x:row r="43">
      <x:c r="A43" s="4" t="str">
        <x:v>posthog</x:v>
      </x:c>
      <x:c r="B43" t="str">
        <x:v>design-posthog.md</x:v>
      </x:c>
      <x:c r="C43" s="6" t="str">
        <x:v>https://getdesign.md/posthog/design-md</x:v>
      </x:c>
      <x:c r="D43" s="6" t="e">
        <x:f>HYPERLINK("https://getdesign.md/posthog/design-md","打开链接")</x:f>
      </x:c>
    </x:row>
    <x:row r="44">
      <x:c r="A44" s="4" t="str">
        <x:v>raycast</x:v>
      </x:c>
      <x:c r="B44" t="str">
        <x:v>design-raycast.md</x:v>
      </x:c>
      <x:c r="C44" s="6" t="str">
        <x:v>https://getdesign.md/raycast/design-md</x:v>
      </x:c>
      <x:c r="D44" s="6" t="e">
        <x:f>HYPERLINK("https://getdesign.md/raycast/design-md","打开链接")</x:f>
      </x:c>
    </x:row>
    <x:row r="45">
      <x:c r="A45" s="4" t="str">
        <x:v>renault</x:v>
      </x:c>
      <x:c r="B45" t="str">
        <x:v>design-renault.md</x:v>
      </x:c>
      <x:c r="C45" s="6" t="str">
        <x:v>https://getdesign.md/renault/design-md</x:v>
      </x:c>
      <x:c r="D45" s="6" t="e">
        <x:f>HYPERLINK("https://getdesign.md/renault/design-md","打开链接")</x:f>
      </x:c>
    </x:row>
    <x:row r="46">
      <x:c r="A46" s="4" t="str">
        <x:v>replicate</x:v>
      </x:c>
      <x:c r="B46" t="str">
        <x:v>design-replicate.md</x:v>
      </x:c>
      <x:c r="C46" s="6" t="str">
        <x:v>https://getdesign.md/replicate/design-md</x:v>
      </x:c>
      <x:c r="D46" s="6" t="e">
        <x:f>HYPERLINK("https://getdesign.md/replicate/design-md","打开链接")</x:f>
      </x:c>
    </x:row>
    <x:row r="47">
      <x:c r="A47" s="4" t="str">
        <x:v>resend</x:v>
      </x:c>
      <x:c r="B47" t="str">
        <x:v>design-resend.md</x:v>
      </x:c>
      <x:c r="C47" s="6" t="str">
        <x:v>https://getdesign.md/resend/design-md</x:v>
      </x:c>
      <x:c r="D47" s="6" t="e">
        <x:f>HYPERLINK("https://getdesign.md/resend/design-md","打开链接")</x:f>
      </x:c>
    </x:row>
    <x:row r="48">
      <x:c r="A48" s="4" t="str">
        <x:v>revolut</x:v>
      </x:c>
      <x:c r="B48" t="str">
        <x:v>design-revolut.md</x:v>
      </x:c>
      <x:c r="C48" s="6" t="str">
        <x:v>https://getdesign.md/revolut/design-md</x:v>
      </x:c>
      <x:c r="D48" s="6" t="e">
        <x:f>HYPERLINK("https://getdesign.md/revolut/design-md","打开链接")</x:f>
      </x:c>
    </x:row>
    <x:row r="49">
      <x:c r="A49" s="4" t="str">
        <x:v>runwayml</x:v>
      </x:c>
      <x:c r="B49" t="str">
        <x:v>design-runwayml.md</x:v>
      </x:c>
      <x:c r="C49" s="6" t="str">
        <x:v>https://getdesign.md/runwayml/design-md</x:v>
      </x:c>
      <x:c r="D49" s="6" t="e">
        <x:f>HYPERLINK("https://getdesign.md/runwayml/design-md","打开链接")</x:f>
      </x:c>
    </x:row>
    <x:row r="50">
      <x:c r="A50" s="4" t="str">
        <x:v>sanity</x:v>
      </x:c>
      <x:c r="B50" t="str">
        <x:v>design-sanity.md</x:v>
      </x:c>
      <x:c r="C50" s="6" t="str">
        <x:v>https://getdesign.md/sanity/design-md</x:v>
      </x:c>
      <x:c r="D50" s="6" t="e">
        <x:f>HYPERLINK("https://getdesign.md/sanity/design-md","打开链接")</x:f>
      </x:c>
    </x:row>
    <x:row r="51">
      <x:c r="A51" s="4" t="str">
        <x:v>sentry</x:v>
      </x:c>
      <x:c r="B51" t="str">
        <x:v>design-sentry.md</x:v>
      </x:c>
      <x:c r="C51" s="6" t="str">
        <x:v>https://getdesign.md/sentry/design-md</x:v>
      </x:c>
      <x:c r="D51" s="6" t="e">
        <x:f>HYPERLINK("https://getdesign.md/sentry/design-md","打开链接")</x:f>
      </x:c>
    </x:row>
    <x:row r="52">
      <x:c r="A52" s="4" t="str">
        <x:v>shopify</x:v>
      </x:c>
      <x:c r="B52" t="str">
        <x:v>design-shopify.md</x:v>
      </x:c>
      <x:c r="C52" s="6" t="str">
        <x:v>https://getdesign.md/shopify/design-md</x:v>
      </x:c>
      <x:c r="D52" s="6" t="e">
        <x:f>HYPERLINK("https://getdesign.md/shopify/design-md","打开链接")</x:f>
      </x:c>
    </x:row>
    <x:row r="53">
      <x:c r="A53" s="4" t="str">
        <x:v>slack</x:v>
      </x:c>
      <x:c r="B53" t="str">
        <x:v>design-slack.md</x:v>
      </x:c>
      <x:c r="C53" s="6" t="str">
        <x:v>https://getdesign.md/slack/design-md</x:v>
      </x:c>
      <x:c r="D53" s="6" t="e">
        <x:f>HYPERLINK("https://getdesign.md/slack/design-md","打开链接")</x:f>
      </x:c>
    </x:row>
    <x:row r="54">
      <x:c r="A54" s="4" t="str">
        <x:v>spacex</x:v>
      </x:c>
      <x:c r="B54" t="str">
        <x:v>design-spacex.md</x:v>
      </x:c>
      <x:c r="C54" s="6" t="str">
        <x:v>https://getdesign.md/spacex/design-md</x:v>
      </x:c>
      <x:c r="D54" s="6" t="e">
        <x:f>HYPERLINK("https://getdesign.md/spacex/design-md","打开链接")</x:f>
      </x:c>
    </x:row>
    <x:row r="55">
      <x:c r="A55" s="4" t="str">
        <x:v>spotify</x:v>
      </x:c>
      <x:c r="B55" t="str">
        <x:v>design-spotify.md</x:v>
      </x:c>
      <x:c r="C55" s="6" t="str">
        <x:v>https://getdesign.md/spotify/design-md</x:v>
      </x:c>
      <x:c r="D55" s="6" t="e">
        <x:f>HYPERLINK("https://getdesign.md/spotify/design-md","打开链接")</x:f>
      </x:c>
    </x:row>
    <x:row r="56">
      <x:c r="A56" s="4" t="str">
        <x:v>starbucks</x:v>
      </x:c>
      <x:c r="B56" t="str">
        <x:v>design-starbucks.md</x:v>
      </x:c>
      <x:c r="C56" s="6" t="str">
        <x:v>https://getdesign.md/starbucks/design-md</x:v>
      </x:c>
      <x:c r="D56" s="6" t="e">
        <x:f>HYPERLINK("https://getdesign.md/starbucks/design-md","打开链接")</x:f>
      </x:c>
    </x:row>
    <x:row r="57">
      <x:c r="A57" s="4" t="str">
        <x:v>stripe</x:v>
      </x:c>
      <x:c r="B57" t="str">
        <x:v>design-stripe.md</x:v>
      </x:c>
      <x:c r="C57" s="6" t="str">
        <x:v>https://getdesign.md/stripe/design-md</x:v>
      </x:c>
      <x:c r="D57" s="6" t="e">
        <x:f>HYPERLINK("https://getdesign.md/stripe/design-md","打开链接")</x:f>
      </x:c>
    </x:row>
    <x:row r="58">
      <x:c r="A58" s="4" t="str">
        <x:v>supabase</x:v>
      </x:c>
      <x:c r="B58" t="str">
        <x:v>design-supabase.md</x:v>
      </x:c>
      <x:c r="C58" s="6" t="str">
        <x:v>https://getdesign.md/supabase/design-md</x:v>
      </x:c>
      <x:c r="D58" s="6" t="e">
        <x:f>HYPERLINK("https://getdesign.md/supabase/design-md","打开链接")</x:f>
      </x:c>
    </x:row>
    <x:row r="59">
      <x:c r="A59" s="4" t="str">
        <x:v>superhuman</x:v>
      </x:c>
      <x:c r="B59" t="str">
        <x:v>design-superhuman.md</x:v>
      </x:c>
      <x:c r="C59" s="6" t="str">
        <x:v>https://getdesign.md/superhuman/design-md</x:v>
      </x:c>
      <x:c r="D59" s="6" t="e">
        <x:f>HYPERLINK("https://getdesign.md/superhuman/design-md","打开链接")</x:f>
      </x:c>
    </x:row>
    <x:row r="60">
      <x:c r="A60" s="4" t="str">
        <x:v>tesla</x:v>
      </x:c>
      <x:c r="B60" t="str">
        <x:v>design-tesla.md</x:v>
      </x:c>
      <x:c r="C60" s="6" t="str">
        <x:v>https://getdesign.md/tesla/design-md</x:v>
      </x:c>
      <x:c r="D60" s="6" t="e">
        <x:f>HYPERLINK("https://getdesign.md/tesla/design-md","打开链接")</x:f>
      </x:c>
    </x:row>
    <x:row r="61">
      <x:c r="A61" s="4" t="str">
        <x:v>theverge</x:v>
      </x:c>
      <x:c r="B61" t="str">
        <x:v>design-theverge.md</x:v>
      </x:c>
      <x:c r="C61" s="6" t="str">
        <x:v>https://getdesign.md/theverge/design-md</x:v>
      </x:c>
      <x:c r="D61" s="6" t="e">
        <x:f>HYPERLINK("https://getdesign.md/theverge/design-md","打开链接")</x:f>
      </x:c>
    </x:row>
    <x:row r="62">
      <x:c r="A62" s="4" t="str">
        <x:v>together.ai</x:v>
      </x:c>
      <x:c r="B62" t="str">
        <x:v>design-together.ai.md</x:v>
      </x:c>
      <x:c r="C62" s="6" t="str">
        <x:v>https://getdesign.md/together.ai/design-md</x:v>
      </x:c>
      <x:c r="D62" s="6" t="e">
        <x:f>HYPERLINK("https://getdesign.md/together.ai/design-md","打开链接")</x:f>
      </x:c>
    </x:row>
    <x:row r="63">
      <x:c r="A63" s="4" t="str">
        <x:v>uber</x:v>
      </x:c>
      <x:c r="B63" t="str">
        <x:v>design-uber.md</x:v>
      </x:c>
      <x:c r="C63" s="6" t="str">
        <x:v>https://getdesign.md/uber/design-md</x:v>
      </x:c>
      <x:c r="D63" s="6" t="e">
        <x:f>HYPERLINK("https://getdesign.md/uber/design-md","打开链接")</x:f>
      </x:c>
    </x:row>
    <x:row r="64">
      <x:c r="A64" s="4" t="str">
        <x:v>vercel</x:v>
      </x:c>
      <x:c r="B64" t="str">
        <x:v>design-vercel.md</x:v>
      </x:c>
      <x:c r="C64" s="6" t="str">
        <x:v>https://getdesign.md/vercel/design-md</x:v>
      </x:c>
      <x:c r="D64" s="6" t="e">
        <x:f>HYPERLINK("https://getdesign.md/vercel/design-md","打开链接")</x:f>
      </x:c>
    </x:row>
    <x:row r="65">
      <x:c r="A65" s="4" t="str">
        <x:v>vodafone</x:v>
      </x:c>
      <x:c r="B65" t="str">
        <x:v>design-vodafone.md</x:v>
      </x:c>
      <x:c r="C65" s="6" t="str">
        <x:v>https://getdesign.md/vodafone/design-md</x:v>
      </x:c>
      <x:c r="D65" s="6" t="e">
        <x:f>HYPERLINK("https://getdesign.md/vodafone/design-md","打开链接")</x:f>
      </x:c>
    </x:row>
    <x:row r="66">
      <x:c r="A66" s="4" t="str">
        <x:v>voltagent</x:v>
      </x:c>
      <x:c r="B66" t="str">
        <x:v>design-voltagent.md</x:v>
      </x:c>
      <x:c r="C66" s="6" t="str">
        <x:v>https://getdesign.md/voltagent/design-md</x:v>
      </x:c>
      <x:c r="D66" s="6" t="e">
        <x:f>HYPERLINK("https://getdesign.md/voltagent/design-md","打开链接")</x:f>
      </x:c>
    </x:row>
    <x:row r="67">
      <x:c r="A67" s="4" t="str">
        <x:v>warp</x:v>
      </x:c>
      <x:c r="B67" t="str">
        <x:v>design-warp.md</x:v>
      </x:c>
      <x:c r="C67" s="6" t="str">
        <x:v>https://getdesign.md/warp/design-md</x:v>
      </x:c>
      <x:c r="D67" s="6" t="e">
        <x:f>HYPERLINK("https://getdesign.md/warp/design-md","打开链接")</x:f>
      </x:c>
    </x:row>
    <x:row r="68">
      <x:c r="A68" s="4" t="str">
        <x:v>webflow</x:v>
      </x:c>
      <x:c r="B68" t="str">
        <x:v>design-webflow.md</x:v>
      </x:c>
      <x:c r="C68" s="6" t="str">
        <x:v>https://getdesign.md/webflow/design-md</x:v>
      </x:c>
      <x:c r="D68" s="6" t="e">
        <x:f>HYPERLINK("https://getdesign.md/webflow/design-md","打开链接")</x:f>
      </x:c>
    </x:row>
    <x:row r="69">
      <x:c r="A69" s="4" t="str">
        <x:v>wired</x:v>
      </x:c>
      <x:c r="B69" t="str">
        <x:v>design-wired.md</x:v>
      </x:c>
      <x:c r="C69" s="6" t="str">
        <x:v>https://getdesign.md/wired/design-md</x:v>
      </x:c>
      <x:c r="D69" s="6" t="e">
        <x:f>HYPERLINK("https://getdesign.md/wired/design-md","打开链接")</x:f>
      </x:c>
    </x:row>
    <x:row r="70">
      <x:c r="A70" s="4" t="str">
        <x:v>wise</x:v>
      </x:c>
      <x:c r="B70" t="str">
        <x:v>design-wise.md</x:v>
      </x:c>
      <x:c r="C70" s="6" t="str">
        <x:v>https://getdesign.md/wise/design-md</x:v>
      </x:c>
      <x:c r="D70" s="6" t="e">
        <x:f>HYPERLINK("https://getdesign.md/wise/design-md","打开链接")</x:f>
      </x:c>
    </x:row>
    <x:row r="71">
      <x:c r="A71" s="4" t="str">
        <x:v>x.ai</x:v>
      </x:c>
      <x:c r="B71" t="str">
        <x:v>design-x.ai.md</x:v>
      </x:c>
      <x:c r="C71" s="6" t="str">
        <x:v>https://getdesign.md/x.ai/design-md</x:v>
      </x:c>
      <x:c r="D71" s="6" t="e">
        <x:f>HYPERLINK("https://getdesign.md/x.ai/design-md","打开链接")</x:f>
      </x:c>
    </x:row>
    <x:row r="72">
      <x:c r="A72" s="4" t="str">
        <x:v>zapier</x:v>
      </x:c>
      <x:c r="B72" t="str">
        <x:v>design-zapier.md</x:v>
      </x:c>
      <x:c r="C72" s="6" t="str">
        <x:v>https://getdesign.md/zapier/design-md</x:v>
      </x:c>
      <x:c r="D72" s="6" t="e">
        <x:f>HYPERLINK("https://getdesign.md/zapier/design-md","打开链接")</x:f>
      </x:c>
    </x:row>
  </x:sheetData>
  <x:pageMargins left="0.7" right="0.7" top="0.75" bottom="0.75" header="0.3" footer="0.3"/>
  <x:tableParts count="1">
    <x:tablePart xmlns:r="http://schemas.openxmlformats.org/officeDocument/2006/relationships" r:id="Rca94c454b0314f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32.5" hidden="0" customWidth="1"/>
  </x:cols>
  <x:sheetData>
    <x:row r="1">
      <x:c r="A1" s="2" t="str">
        <x:v>Item</x:v>
      </x:c>
      <x:c r="B1" s="2" t="str">
        <x:v>Value</x:v>
      </x:c>
    </x:row>
    <x:row r="2">
      <x:c r="A2" t="str">
        <x:v>Brand files</x:v>
      </x:c>
      <x:c r="B2" t="n">
        <x:v>71</x:v>
      </x:c>
    </x:row>
    <x:row r="3">
      <x:c r="A3" t="str">
        <x:v>Clickable link rows</x:v>
      </x:c>
      <x:c r="B3" t="n">
        <x:v>71</x:v>
      </x:c>
    </x:row>
    <x:row r="4">
      <x:c r="A4" t="str">
        <x:v>Source CSV</x:v>
      </x:c>
      <x:c r="B4" t="str">
        <x:v>design-system-links.csv</x:v>
      </x:c>
    </x:row>
    <x:row r="5">
      <x:c r="A5" t="str">
        <x:v>Generated file</x:v>
      </x:c>
      <x:c r="B5" t="str">
        <x:v>design-system-links-clickable.xlsx</x:v>
      </x:c>
    </x:row>
  </x:sheetData>
  <x:pageMargins left="0.7" right="0.7" top="0.75" bottom="0.75" header="0.3" footer="0.3"/>
</x:worksheet>
</file>